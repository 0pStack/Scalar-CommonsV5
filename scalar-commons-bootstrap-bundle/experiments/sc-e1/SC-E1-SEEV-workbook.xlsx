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Predictions" sheetId="2" state="visible" r:id="rId4"/>
    <sheet name="02_Archetypes" sheetId="3" state="visible" r:id="rId5"/>
    <sheet name="03_Parameters" sheetId="4" state="visible" r:id="rId6"/>
    <sheet name="04_Metrics" sheetId="5" state="visible" r:id="rId7"/>
    <sheet name="05_Run_Matrix" sheetId="6" state="visible" r:id="rId8"/>
    <sheet name="06_Break_Even_Model" sheetId="7" state="visible" r:id="rId9"/>
    <sheet name="07_Negative_Controls" sheetId="8" state="visible" r:id="rId10"/>
    <sheet name="08_Hard_Limits" sheetId="9" state="visible" r:id="rId11"/>
    <sheet name="09_Harness_Spec" sheetId="10" state="visible" r:id="rId12"/>
    <sheet name="10_Reproducibility" sheetId="11" state="visible" r:id="rId13"/>
    <sheet name="11_Results_Decision_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<sst xmlns="http://schemas.openxmlformats.org/spreadsheetml/2006/main" count="505" uniqueCount="386">
  <si>
    <t xml:space="preserve">SC-E1 — Scalar Commons Emissions-Economy Validation (SEEV)</t>
  </si>
  <si>
    <t xml:space="preserve">Companion workbook to SC-E1-SEEV-protocol-spec.md · draft 1 · 2026-07-02 · Status: DESIGNED, not executed</t>
  </si>
  <si>
    <t xml:space="preserve">Purpose</t>
  </si>
  <si>
    <t xml:space="preserve">Convert Scalar Commons first principles into pre-registered falsifiable predictions and test them on ephemeral zombienet networks with scripted synthetic agents.</t>
  </si>
  <si>
    <t xml:space="preserve">Headline</t>
  </si>
  <si>
    <t xml:space="preserve">C-1: work out-earns equal-capital stake; known gaming strategies are net-negative at genesis params; era settlement is permissionlessly live. Currently an ASSERTION — this experiment decides it.</t>
  </si>
  <si>
    <t xml:space="preserve">Standard</t>
  </si>
  <si>
    <t xml:space="preserve">RESEARCH-PRODUCTION-STANDARD: pre-registration lock (P0-6), negative controls (tab 07), named hard limits (tab 08), full reproducibility (tab 10).</t>
  </si>
  <si>
    <t xml:space="preserve">Scope exclusion</t>
  </si>
  <si>
    <t xml:space="preserve">No messaging bridge, no VCS, no patent subject matter. Consensus attacks and network realism out of scope (HL-4).</t>
  </si>
  <si>
    <t xml:space="preserve">How to use</t>
  </si>
  <si>
    <t xml:space="preserve">1) Verify every value in tab 03 against runtime source, mark VERIFIED. 2) Resolve OD-1..OD-3 in tab 11. 3) Set thresholds in tab 01, mark LOCKED. 4) Build harness per tab 09. 5) Execute run matrix tab 05. 6) Record verdicts in tabs 01 and 11.</t>
  </si>
  <si>
    <t xml:space="preserve">Tab index</t>
  </si>
  <si>
    <t xml:space="preserve">01 Predictions · 02 Archetypes · 03 Parameters · 04 Metrics · 05 Run Matrix · 06 Break-Even Model · 07 Negative Controls · 08 Hard Limits · 09 Harness Spec · 10 Reproducibility · 11 Results &amp; Decision Log</t>
  </si>
  <si>
    <t xml:space="preserve">01 — Pre-Registered Predictions</t>
  </si>
  <si>
    <t xml:space="preserve">Blue thresholds are adjustable UNTIL status = LOCKED (P0-6); immutable after. A failed prediction is a result, not a program failure — except P3, which validates the instrument itself.</t>
  </si>
  <si>
    <t xml:space="preserve">ID</t>
  </si>
  <si>
    <t xml:space="preserve">Prediction (falsifiable statement)</t>
  </si>
  <si>
    <t xml:space="preserve">Threshold (proposed)</t>
  </si>
  <si>
    <t xml:space="preserve">Run</t>
  </si>
  <si>
    <t xml:space="preserve">Metric</t>
  </si>
  <si>
    <t xml:space="preserve">Falsifies</t>
  </si>
  <si>
    <t xml:space="preserve">Status</t>
  </si>
  <si>
    <t xml:space="preserve">Verdict</t>
  </si>
  <si>
    <t xml:space="preserve">P1</t>
  </si>
  <si>
    <t xml:space="preserve">Equal-endowment worker/staker per-capita earnings ratio</t>
  </si>
  <si>
    <t xml:space="preserve">&gt;= 2.0 by era 10</t>
  </si>
  <si>
    <t xml:space="preserve">RUN-A</t>
  </si>
  <si>
    <t xml:space="preserve">M2</t>
  </si>
  <si>
    <t xml:space="preserve">C-1a</t>
  </si>
  <si>
    <t xml:space="preserve">PRE-REGISTERED</t>
  </si>
  <si>
    <t xml:space="preserve">P2</t>
  </si>
  <si>
    <t xml:space="preserve">Earnings monotonic in completed escrow volume across worker cohorts</t>
  </si>
  <si>
    <t xml:space="preserve">Spearman rho &gt;= 0.8</t>
  </si>
  <si>
    <t xml:space="preserve">M3</t>
  </si>
  <si>
    <t xml:space="preserve">C-1a dose-response</t>
  </si>
  <si>
    <t xml:space="preserve">P3</t>
  </si>
  <si>
    <t xml:space="preserve">NEGATIVE CONTROL: work-weighting disabled -&gt; ratio in [0.8,1.2] AND rho &lt;= 0.3</t>
  </si>
  <si>
    <t xml:space="preserve">as stated</t>
  </si>
  <si>
    <t xml:space="preserve">RUN-B</t>
  </si>
  <si>
    <t xml:space="preserve">M2,M3</t>
  </si>
  <si>
    <t xml:space="preserve">THE INSTRUMENT — fail voids all verdicts</t>
  </si>
  <si>
    <t xml:space="preserve">P4</t>
  </si>
  <si>
    <t xml:space="preserve">1,000-account sybil farm cumulative net position &lt; 0</t>
  </si>
  <si>
    <t xml:space="preserve">by era 3</t>
  </si>
  <si>
    <t xml:space="preserve">RUN-C</t>
  </si>
  <si>
    <t xml:space="preserve">M4</t>
  </si>
  <si>
    <t xml:space="preserve">C-1b sybil guard</t>
  </si>
  <si>
    <t xml:space="preserve">P5</t>
  </si>
  <si>
    <t xml:space="preserve">Wash-trade cycle net (incremental emissions - fees) &lt; 0 at genesis params</t>
  </si>
  <si>
    <t xml:space="preserve">net &lt; 0 per cycle</t>
  </si>
  <si>
    <t xml:space="preserve">RUN-D</t>
  </si>
  <si>
    <t xml:space="preserve">M5 (tab 06)</t>
  </si>
  <si>
    <t xml:space="preserve">C-1b volume gate</t>
  </si>
  <si>
    <t xml:space="preserve">P6</t>
  </si>
  <si>
    <t xml:space="preserve">Oracle collusion at k &lt;= 20% of oracle set: earnings uplift vs honest</t>
  </si>
  <si>
    <t xml:space="preserve">&lt;= 5% uplift</t>
  </si>
  <si>
    <t xml:space="preserve">RUN-E</t>
  </si>
  <si>
    <t xml:space="preserve">M1 cohort delta</t>
  </si>
  <si>
    <t xml:space="preserve">C-1b oracle guard</t>
  </si>
  <si>
    <t xml:space="preserve">P7</t>
  </si>
  <si>
    <t xml:space="preserve">&gt;= 100 consecutive eras settle, zero privileged calls; p95 lag &lt;= 10% era length</t>
  </si>
  <si>
    <t xml:space="preserve">RUN-F</t>
  </si>
  <si>
    <t xml:space="preserve">M6</t>
  </si>
  <si>
    <t xml:space="preserve">C-1c liveness</t>
  </si>
  <si>
    <t xml:space="preserve">P8</t>
  </si>
  <si>
    <t xml:space="preserve">Concentration at era 20: top-earner share &lt;= T%, Gini &lt;= G</t>
  </si>
  <si>
    <t xml:space="preserve">T, G = OPEN (OD-1)</t>
  </si>
  <si>
    <t xml:space="preserve">M7</t>
  </si>
  <si>
    <t xml:space="preserve">design acceptability (outside C-1)</t>
  </si>
  <si>
    <t xml:space="preserve">OPEN — blocks lock</t>
  </si>
  <si>
    <t xml:space="preserve">02 — Synthetic Agent Archetypes</t>
  </si>
  <si>
    <t xml:space="preserve">Deterministic scripted loops over the TypeScript SDK; seeded per cohort member; no privileged keys ever. Every archetype calls settle_era with random backoff when an era is due — settlement must emerge from incentive (Phase C rule).</t>
  </si>
  <si>
    <t xml:space="preserve">Archetype</t>
  </si>
  <si>
    <t xml:space="preserve">Per-era loop</t>
  </si>
  <si>
    <t xml:space="preserve">Key parameters (per run manifest)</t>
  </si>
  <si>
    <t xml:space="preserve">Tests</t>
  </si>
  <si>
    <t xml:space="preserve">Notes</t>
  </si>
  <si>
    <t xml:space="preserve">A-1</t>
  </si>
  <si>
    <t xml:space="preserve">HONEST-WORKER</t>
  </si>
  <si>
    <t xml:space="preserve">register &gt; stake s_w &gt; heartbeat &gt; accept/complete n real escrows with counterparties &gt; honest oracle votes &gt; governance vote &gt; claim</t>
  </si>
  <si>
    <t xml:space="preserve">cohort size; s_w; work rate n graded across sub-cohorts (for P2); endowment E</t>
  </si>
  <si>
    <t xml:space="preserve">C-1a upside</t>
  </si>
  <si>
    <t xml:space="preserve">Equal-endowment rule: E identical to A-2; split stake vs working capital</t>
  </si>
  <si>
    <t xml:space="preserve">A-2</t>
  </si>
  <si>
    <t xml:space="preserve">PASSIVE-STAKER</t>
  </si>
  <si>
    <t xml:space="preserve">register &gt; stake s_p &gt; heartbeat &gt; claim</t>
  </si>
  <si>
    <t xml:space="preserve">cohort size; s_p up to MaxStake; endowment E (= A-1)</t>
  </si>
  <si>
    <t xml:space="preserve">C-1a baseline</t>
  </si>
  <si>
    <t xml:space="preserve">No escrow, no oracle, no governance</t>
  </si>
  <si>
    <t xml:space="preserve">A-3</t>
  </si>
  <si>
    <t xml:space="preserve">SYBIL-FARM</t>
  </si>
  <si>
    <t xml:space="preserve">N accounts: register &gt; min stake &gt; heartbeat only; attempt floor qualification</t>
  </si>
  <si>
    <t xml:space="preserve">N (default 1,000); heartbeats/era h</t>
  </si>
  <si>
    <t xml:space="preserve">Economics modeled in tab 06; each heartbeat burns BASE_TX_FEE</t>
  </si>
  <si>
    <t xml:space="preserve">A-4</t>
  </si>
  <si>
    <t xml:space="preserve">WASH-TRADER</t>
  </si>
  <si>
    <t xml:space="preserve">two colluding accounts self-escrow volume &gt;= MinQualifyingVol per era; complete; claim qualification + velocity bonus</t>
  </si>
  <si>
    <t xml:space="preserve">cycle volume; cycles/era; tx per cycle k</t>
  </si>
  <si>
    <t xml:space="preserve">Self-link guard forces the two-account structure — that guard is itself under test</t>
  </si>
  <si>
    <t xml:space="preserve">A-5</t>
  </si>
  <si>
    <t xml:space="preserve">ORACLE-COLLUDER</t>
  </si>
  <si>
    <t xml:space="preserve">k accounts coordinate oracle answers to farm accuracy bonus</t>
  </si>
  <si>
    <t xml:space="preserve">k as % of oracle set (10%, 20%)</t>
  </si>
  <si>
    <t xml:space="preserve">Honest-majority assumption boundary probed, not consensus attacked</t>
  </si>
  <si>
    <t xml:space="preserve">03 — Economic Constants (P0-1 verification gate)</t>
  </si>
  <si>
    <t xml:space="preserve">ALL values below originate from v3/v4 build-session history (HL-8), NOT a fresh read of the runtime. Every row must be verified against pallet source and marked VERIFIED before pre-registration lock. Yellow = unverified.</t>
  </si>
  <si>
    <t xml:space="preserve">Constant</t>
  </si>
  <si>
    <t xml:space="preserve">Session-history value</t>
  </si>
  <si>
    <t xml:space="preserve">Units</t>
  </si>
  <si>
    <t xml:space="preserve">Scales with lambda?</t>
  </si>
  <si>
    <t xml:space="preserve">Verified vs runtime?</t>
  </si>
  <si>
    <t xml:space="preserve">Source to check</t>
  </si>
  <si>
    <t xml:space="preserve">Token unit</t>
  </si>
  <si>
    <t xml:space="preserve">1 CMN = 10^12 plancks</t>
  </si>
  <si>
    <t xml:space="preserve">plancks</t>
  </si>
  <si>
    <t xml:space="preserve">No</t>
  </si>
  <si>
    <t xml:space="preserve">NO — VERIFY</t>
  </si>
  <si>
    <t xml:space="preserve">primitives/src/lib.rs</t>
  </si>
  <si>
    <t xml:space="preserve">Supply cap</t>
  </si>
  <si>
    <t xml:space="preserve">100,000,000,000</t>
  </si>
  <si>
    <t xml:space="preserve">CMN</t>
  </si>
  <si>
    <t xml:space="preserve">primitives / emissions pallet</t>
  </si>
  <si>
    <t xml:space="preserve">Genesis mint</t>
  </si>
  <si>
    <t xml:space="preserve">18,000,000,000</t>
  </si>
  <si>
    <t xml:space="preserve">chain_spec.rs</t>
  </si>
  <si>
    <t xml:space="preserve">BASE_TX_FEE (burned)</t>
  </si>
  <si>
    <t xml:space="preserve">10</t>
  </si>
  <si>
    <t xml:space="preserve">AgreementCompletionFee</t>
  </si>
  <si>
    <t xml:space="preserve">100</t>
  </si>
  <si>
    <t xml:space="preserve">escrow pallet / runtime</t>
  </si>
  <si>
    <t xml:space="preserve">MinQualifyingVol</t>
  </si>
  <si>
    <t xml:space="preserve">50</t>
  </si>
  <si>
    <t xml:space="preserve">CMN per era</t>
  </si>
  <si>
    <t xml:space="preserve">emissions pallet</t>
  </si>
  <si>
    <t xml:space="preserve">VelocityBonusBps cap</t>
  </si>
  <si>
    <t xml:space="preserve">+30% (3000 bps)</t>
  </si>
  <si>
    <t xml:space="preserve">bps</t>
  </si>
  <si>
    <t xml:space="preserve">Genesis validator stake</t>
  </si>
  <si>
    <t xml:space="preserve">10,000</t>
  </si>
  <si>
    <t xml:space="preserve">MaxStake</t>
  </si>
  <si>
    <t xml:space="preserve">1,000,000</t>
  </si>
  <si>
    <t xml:space="preserve">agents pallet / runtime</t>
  </si>
  <si>
    <t xml:space="preserve">Floor emission, genesis validator</t>
  </si>
  <si>
    <t xml:space="preserve">~33,333</t>
  </si>
  <si>
    <t xml:space="preserve">CMN/era</t>
  </si>
  <si>
    <t xml:space="preserve">v4 audit finding — recompute</t>
  </si>
  <si>
    <t xml:space="preserve">Optimized-earner multiple</t>
  </si>
  <si>
    <t xml:space="preserve">~15x baseline</t>
  </si>
  <si>
    <t xml:space="preserve">ratio</t>
  </si>
  <si>
    <t xml:space="preserve">Era length</t>
  </si>
  <si>
    <t xml:space="preserve">UNKNOWN</t>
  </si>
  <si>
    <t xml:space="preserve">blocks</t>
  </si>
  <si>
    <t xml:space="preserve">YES</t>
  </si>
  <si>
    <t xml:space="preserve">runtime constants</t>
  </si>
  <si>
    <t xml:space="preserve">Rank 3 gate</t>
  </si>
  <si>
    <t xml:space="preserve">50 completions / 30 days + oracle accuracy</t>
  </si>
  <si>
    <t xml:space="preserve">completions, blocks</t>
  </si>
  <si>
    <t xml:space="preserve">YES (window)</t>
  </si>
  <si>
    <t xml:space="preserve">agents pallet</t>
  </si>
  <si>
    <t xml:space="preserve">INCENTIVE_FRESHNESS_BLOCKS</t>
  </si>
  <si>
    <t xml:space="preserve">3 * DAYS</t>
  </si>
  <si>
    <t xml:space="preserve">Heartbeat window</t>
  </si>
  <si>
    <t xml:space="preserve">agents/heartbeat logic</t>
  </si>
  <si>
    <t xml:space="preserve">EraNotDue horizon</t>
  </si>
  <si>
    <t xml:space="preserve">era length</t>
  </si>
  <si>
    <t xml:space="preserve">Weight formula f(stake, rank, oracle, gov, velocity)</t>
  </si>
  <si>
    <t xml:space="preserve">functional form NOT transcribed</t>
  </si>
  <si>
    <t xml:space="preserve">—</t>
  </si>
  <si>
    <t xml:space="preserve">NO — TRANSCRIBE</t>
  </si>
  <si>
    <t xml:space="preserve">emissions pallet lib.rs</t>
  </si>
  <si>
    <t xml:space="preserve">lambda (fast-era scale factor)</t>
  </si>
  <si>
    <t xml:space="preserve">OD-3: target 2–5 min wall-clock per era</t>
  </si>
  <si>
    <t xml:space="preserve">defines lambda</t>
  </si>
  <si>
    <t xml:space="preserve">OPEN DECISION</t>
  </si>
  <si>
    <t xml:space="preserve">sc-e1 chain-spec preset</t>
  </si>
  <si>
    <t xml:space="preserve">04 — Metrics &amp; Measurement Plane</t>
  </si>
  <si>
    <t xml:space="preserve">Instrument = Node.js indexer (24-endpoint API), validated 1:1 against chain storage before first use (P0-5). Analysis script computes all metrics from per-era CSV/JSONL exports and emits a machine-readable verdict file.</t>
  </si>
  <si>
    <t xml:space="preserve">Definition / formula</t>
  </si>
  <si>
    <t xml:space="preserve">Data source</t>
  </si>
  <si>
    <t xml:space="preserve">Cadence</t>
  </si>
  <si>
    <t xml:space="preserve">Feeds</t>
  </si>
  <si>
    <t xml:space="preserve">M1</t>
  </si>
  <si>
    <t xml:space="preserve">Per-account net position</t>
  </si>
  <si>
    <t xml:space="preserve">cumulative emissions earned - fees burned - slashes</t>
  </si>
  <si>
    <t xml:space="preserve">indexer: balances + emission + fee events</t>
  </si>
  <si>
    <t xml:space="preserve">per era</t>
  </si>
  <si>
    <t xml:space="preserve">P4, P6</t>
  </si>
  <si>
    <t xml:space="preserve">Worker/staker earnings ratio</t>
  </si>
  <si>
    <t xml:space="preserve">mean per-capita earnings A-1 / mean per-capita earnings A-2, equal endowment</t>
  </si>
  <si>
    <t xml:space="preserve">M1 grouped by archetype</t>
  </si>
  <si>
    <t xml:space="preserve">P1, P3</t>
  </si>
  <si>
    <t xml:space="preserve">Work dose-response</t>
  </si>
  <si>
    <t xml:space="preserve">Spearman rho(completed escrow volume, earnings) across A-1 sub-cohorts</t>
  </si>
  <si>
    <t xml:space="preserve">indexer escrow + emission events</t>
  </si>
  <si>
    <t xml:space="preserve">P2, P3, NC-3</t>
  </si>
  <si>
    <t xml:space="preserve">Sybil aggregate net</t>
  </si>
  <si>
    <t xml:space="preserve">sum of M1 over A-3 accounts</t>
  </si>
  <si>
    <t xml:space="preserve">M1 filtered A-3</t>
  </si>
  <si>
    <t xml:space="preserve">M5</t>
  </si>
  <si>
    <t xml:space="preserve">Wash-cycle unit economics</t>
  </si>
  <si>
    <t xml:space="preserve">incremental emissions from qualification + velocity bonus - (completion fee + k * tx fee) per cycle</t>
  </si>
  <si>
    <t xml:space="preserve">tab 06 model + RUN-D observed</t>
  </si>
  <si>
    <t xml:space="preserve">per cycle</t>
  </si>
  <si>
    <t xml:space="preserve">Settlement lag</t>
  </si>
  <si>
    <t xml:space="preserve">distribution of (settle_era success block - era end block); p50/p95/max; caller identity check = no privileged origin</t>
  </si>
  <si>
    <t xml:space="preserve">indexer settlement events</t>
  </si>
  <si>
    <t xml:space="preserve">Concentration</t>
  </si>
  <si>
    <t xml:space="preserve">Gini coefficient of era earnings; top-1/top-5 earner share</t>
  </si>
  <si>
    <t xml:space="preserve">M1 per era</t>
  </si>
  <si>
    <t xml:space="preserve">M8</t>
  </si>
  <si>
    <t xml:space="preserve">Supply integrity (INVARIANT)</t>
  </si>
  <si>
    <t xml:space="preserve">total issuance &lt;= supply cap; issuance delta per era == emitted - burned</t>
  </si>
  <si>
    <t xml:space="preserve">chain storage direct (not indexer)</t>
  </si>
  <si>
    <t xml:space="preserve">every era</t>
  </si>
  <si>
    <t xml:space="preserve">CRITICAL halt on violation</t>
  </si>
  <si>
    <t xml:space="preserve">05 — Run Matrix</t>
  </si>
  <si>
    <t xml:space="preserve">Each run x 3 seeds minimum. One ephemeral zombienet network per run per seed, destroyed after data extraction. Config deltas are the ONLY permitted differences between RUN-A and RUN-B.</t>
  </si>
  <si>
    <t xml:space="preserve">Population</t>
  </si>
  <si>
    <t xml:space="preserve">Config delta from genesis</t>
  </si>
  <si>
    <t xml:space="preserve">Min eras</t>
  </si>
  <si>
    <t xml:space="preserve">Seeds</t>
  </si>
  <si>
    <t xml:space="preserve">Predictions</t>
  </si>
  <si>
    <t xml:space="preserve">Privileged calls</t>
  </si>
  <si>
    <t xml:space="preserve">A-1 sub-cohorts at graded work rates + A-2 (equal endowment)</t>
  </si>
  <si>
    <t xml:space="preserve">none</t>
  </si>
  <si>
    <t xml:space="preserve">20</t>
  </si>
  <si>
    <t xml:space="preserve">3</t>
  </si>
  <si>
    <t xml:space="preserve">P1, P2, P8 (+M8 always)</t>
  </si>
  <si>
    <t xml:space="preserve">identical to RUN-A</t>
  </si>
  <si>
    <t xml:space="preserve">work-weighting DISABLED (stake-only weights)</t>
  </si>
  <si>
    <t xml:space="preserve">P3 negative control</t>
  </si>
  <si>
    <t xml:space="preserve">RUN-A population + A-3 (N=1,000)</t>
  </si>
  <si>
    <t xml:space="preserve">RUN-A population + A-4</t>
  </si>
  <si>
    <t xml:space="preserve">RUN-A population + A-5 at k=10% and k=20%</t>
  </si>
  <si>
    <t xml:space="preserve">3 per k</t>
  </si>
  <si>
    <t xml:space="preserve">RUN-A population, reduced telemetry</t>
  </si>
  <si>
    <t xml:space="preserve">ZERO — any privileged call voids the run</t>
  </si>
  <si>
    <t xml:space="preserve">06 — Attack Break-Even Model (pre-run economics)</t>
  </si>
  <si>
    <t xml:space="preserve">Blue cells = inputs to set after P0-1 verification (values below are session-history placeholders). Black cells = formulas. This model SETS the P4/P5 priors; RUN-C/RUN-D then measure reality against it.</t>
  </si>
  <si>
    <t xml:space="preserve">SYBIL FARM (per account, per era) — feeds P4</t>
  </si>
  <si>
    <t xml:space="preserve">BASE_TX_FEE (CMN, burned)</t>
  </si>
  <si>
    <t xml:space="preserve">input — verify tab 03</t>
  </si>
  <si>
    <t xml:space="preserve">Heartbeats per era (h)</t>
  </si>
  <si>
    <t xml:space="preserve">input — depends on era length / heartbeat window</t>
  </si>
  <si>
    <t xml:space="preserve">Other mandatory txs per era</t>
  </si>
  <si>
    <t xml:space="preserve">input</t>
  </si>
  <si>
    <t xml:space="preserve">Floor emission per qualifying account (CMN/era)</t>
  </si>
  <si>
    <t xml:space="preserve">input — 0 if MinQualifyingVol gate excludes heartbeat-only accounts (expected)</t>
  </si>
  <si>
    <t xml:space="preserve">Fees burned per account per era (CMN)</t>
  </si>
  <si>
    <t xml:space="preserve">Net position per account per era (CMN)</t>
  </si>
  <si>
    <t xml:space="preserve">P4 prior</t>
  </si>
  <si>
    <t xml:space="preserve">WASH TRADER (per qualifying cycle) — feeds P5</t>
  </si>
  <si>
    <t xml:space="preserve">AgreementCompletionFee (CMN)</t>
  </si>
  <si>
    <t xml:space="preserve">Transactions per cycle (k)</t>
  </si>
  <si>
    <t xml:space="preserve">input — create + accept + complete (verify actual extrinsic count)</t>
  </si>
  <si>
    <t xml:space="preserve">BASE_TX_FEE (CMN)</t>
  </si>
  <si>
    <t xml:space="preserve">Incremental floor emission unlocked by qualification (CMN/era)</t>
  </si>
  <si>
    <t xml:space="preserve">input — from verified weight formula</t>
  </si>
  <si>
    <t xml:space="preserve">Incremental velocity-bonus emission (CMN/era, &lt;= +30% of base weight earnings)</t>
  </si>
  <si>
    <t xml:space="preserve">Cycles needed per era to reach MinQualifyingVol</t>
  </si>
  <si>
    <t xml:space="preserve">input — MinQualifyingVol / cycle volume</t>
  </si>
  <si>
    <t xml:space="preserve">Cost per era (CMN)</t>
  </si>
  <si>
    <t xml:space="preserve">Incremental emissions per era (CMN)</t>
  </si>
  <si>
    <t xml:space="preserve">Net per era (CMN)</t>
  </si>
  <si>
    <t xml:space="preserve">P5 prior</t>
  </si>
  <si>
    <t xml:space="preserve">07 — Negative Controls</t>
  </si>
  <si>
    <t xml:space="preserve">A harness that cannot fail cannot validate. Each control checks the instrument, not the chain. NC-1 failing voids ALL verdicts (per P3).</t>
  </si>
  <si>
    <t xml:space="preserve">Control</t>
  </si>
  <si>
    <t xml:space="preserve">Procedure</t>
  </si>
  <si>
    <t xml:space="preserve">Pass criterion</t>
  </si>
  <si>
    <t xml:space="preserve">Validates</t>
  </si>
  <si>
    <t xml:space="preserve">NC-1</t>
  </si>
  <si>
    <t xml:space="preserve">Stake-only weights (= P3 / RUN-B)</t>
  </si>
  <si>
    <t xml:space="preserve">identical population to RUN-A, work-weighting disabled at runtime config</t>
  </si>
  <si>
    <t xml:space="preserve">M2 in [0.8,1.2]; M3 rho &lt;= 0.3</t>
  </si>
  <si>
    <t xml:space="preserve">metrics detect work-weighting at all</t>
  </si>
  <si>
    <t xml:space="preserve">NC-2</t>
  </si>
  <si>
    <t xml:space="preserve">Zero-work run</t>
  </si>
  <si>
    <t xml:space="preserve">A-2 population only; run full analysis pipeline</t>
  </si>
  <si>
    <t xml:space="preserve">pipeline reports ratio-undefined / null on worker metrics; no fabricated signal</t>
  </si>
  <si>
    <t xml:space="preserve">analysis-script honesty on empty signal</t>
  </si>
  <si>
    <t xml:space="preserve">NC-3</t>
  </si>
  <si>
    <t xml:space="preserve">Label shuffle</t>
  </si>
  <si>
    <t xml:space="preserve">recompute M2/M3 on RUN-A raw data with archetype labels randomly permuted (100 permutations)</t>
  </si>
  <si>
    <t xml:space="preserve">rho collapses toward 0; observed rho outside permutation 95th percentile</t>
  </si>
  <si>
    <t xml:space="preserve">correlations are not analysis artifacts</t>
  </si>
  <si>
    <t xml:space="preserve">08 — Named Hard Limits</t>
  </si>
  <si>
    <t xml:space="preserve">Attached to every reported result. A finding stated without these is misstated.</t>
  </si>
  <si>
    <t xml:space="preserve">Limit</t>
  </si>
  <si>
    <t xml:space="preserve">Consequence for interpretation</t>
  </si>
  <si>
    <t xml:space="preserve">HL-1</t>
  </si>
  <si>
    <t xml:space="preserve">Scripted archetypes are not adaptive adversaries</t>
  </si>
  <si>
    <t xml:space="preserve">P4–P6 passes are LOWER BOUNDS on attack resistance; failures are real failures</t>
  </si>
  <si>
    <t xml:space="preserve">HL-2</t>
  </si>
  <si>
    <t xml:space="preserve">Unbenchmarked extrinsic weights (if P0-4 waived)</t>
  </si>
  <si>
    <t xml:space="preserve">fee-sensitive results carry a wrong-prices confound; only flat burned BASE_TX_FEE and flat completion fee are price-correct</t>
  </si>
  <si>
    <t xml:space="preserve">HL-3</t>
  </si>
  <si>
    <t xml:space="preserve">Fast-era compression valid only under uniform lambda scaling</t>
  </si>
  <si>
    <t xml:space="preserve">one unscaled block-denominated constant invalidates all time-dependent results; emergent time strategies may not compress linearly</t>
  </si>
  <si>
    <t xml:space="preserve">HL-4</t>
  </si>
  <si>
    <t xml:space="preserve">3 validators on one CI host is not a decentralized network</t>
  </si>
  <si>
    <t xml:space="preserve">consensus attacks, partitions, latency realism untested by design</t>
  </si>
  <si>
    <t xml:space="preserve">HL-5</t>
  </si>
  <si>
    <t xml:space="preserve">No CMN market price exists</t>
  </si>
  <si>
    <t xml:space="preserve">all ROI is CMN-denominated; says nothing about fiat-denominated attack economics post-listing</t>
  </si>
  <si>
    <t xml:space="preserve">HL-6</t>
  </si>
  <si>
    <t xml:space="preserve">RUN-F measures incentive sufficiency, not network resilience</t>
  </si>
  <si>
    <t xml:space="preserve">liveness verdict does not cover infrastructure failure modes</t>
  </si>
  <si>
    <t xml:space="preserve">HL-7</t>
  </si>
  <si>
    <t xml:space="preserve">Results parameterized to exact run-manifest genesis constants</t>
  </si>
  <si>
    <t xml:space="preserve">auto-params drift mid-run must be logged or results do not generalize</t>
  </si>
  <si>
    <t xml:space="preserve">HL-8</t>
  </si>
  <si>
    <t xml:space="preserve">Section-4 constants come from build-session history, not fresh runtime read</t>
  </si>
  <si>
    <t xml:space="preserve">P0-1 verification gate exists because of this; tab 03 is authoritative only once VERIFIED</t>
  </si>
  <si>
    <t xml:space="preserve">09 — Harness Specification</t>
  </si>
  <si>
    <t xml:space="preserve">All components run on free cloud compute (GitHub Actions; Codespaces for interactive work only). Each component has an acceptance criterion — a component without one is not done.</t>
  </si>
  <si>
    <t xml:space="preserve">Component</t>
  </si>
  <si>
    <t xml:space="preserve">Spec</t>
  </si>
  <si>
    <t xml:space="preserve">Acceptance criterion</t>
  </si>
  <si>
    <t xml:space="preserve">Builds via</t>
  </si>
  <si>
    <t xml:space="preserve">Fast-era chain spec</t>
  </si>
  <si>
    <t xml:space="preserve">sc-e1 preset in chain_spec.rs; single lambda applied to EVERY block-denominated constant (tab 03 column D)</t>
  </si>
  <si>
    <t xml:space="preserve">P0-2: automated check that lists all block-denominated constants and asserts uniform scaling</t>
  </si>
  <si>
    <t xml:space="preserve">swarm issue</t>
  </si>
  <si>
    <t xml:space="preserve">Zombienet CI</t>
  </si>
  <si>
    <t xml:space="preserve">ephemeral 3-validator network per run per seed inside GitHub Actions; destroyed after extraction</t>
  </si>
  <si>
    <t xml:space="preserve">a trivial run (5 eras, tiny population) completes green in CI end-to-end</t>
  </si>
  <si>
    <t xml:space="preserve">Agent SDK (TypeScript)</t>
  </si>
  <si>
    <t xml:space="preserve">register, stake, heartbeat, createEscrow, acceptEscrow, completeEscrow, submitOracle, vote, settleEra, claim + reads (eraInfo, weightOf, netPosition); polkadot-js; no silent retries (retries logged — they are fee-bearing events)</t>
  </si>
  <si>
    <t xml:space="preserve">P0-3: integration tests green against a dev node for every call</t>
  </si>
  <si>
    <t xml:space="preserve">Archetype runners</t>
  </si>
  <si>
    <t xml:space="preserve">A-1..A-5 deterministic loops, seeded per cohort member; settle_era-with-backoff in every loop; no privileged keys</t>
  </si>
  <si>
    <t xml:space="preserve">replaying a manifest reproduces identical extrinsic sequence per seed</t>
  </si>
  <si>
    <t xml:space="preserve">Measurement plane</t>
  </si>
  <si>
    <t xml:space="preserve">indexer per-era CSV/JSONL export: per-account earnings, fees burned, escrow volume, oracle scores, settlement events</t>
  </si>
  <si>
    <t xml:space="preserve">P0-5: 1:1 reconciliation vs chain storage on a scripted fixture</t>
  </si>
  <si>
    <t xml:space="preserve">Analysis + verdict script</t>
  </si>
  <si>
    <t xml:space="preserve">Python, pinned deps; computes M1–M8; emits machine-readable verdict file per run; implements NC-2/NC-3</t>
  </si>
  <si>
    <t xml:space="preserve">verdict file schema-validated; NC controls runnable standalone</t>
  </si>
  <si>
    <t xml:space="preserve">Run manifest</t>
  </si>
  <si>
    <t xml:space="preserve">config snapshot, chain-spec hash, seeds, threshold snapshot (tab 01 at LOCK), toolchain pins</t>
  </si>
  <si>
    <t xml:space="preserve">a run is re-executable from manifest alone (tab 10)</t>
  </si>
  <si>
    <t xml:space="preserve">10 — Reproducibility Requirements</t>
  </si>
  <si>
    <t xml:space="preserve">A run that cannot be re-executed from its manifest alone does not count.</t>
  </si>
  <si>
    <t xml:space="preserve">Requirement</t>
  </si>
  <si>
    <t xml:space="preserve">Mechanism</t>
  </si>
  <si>
    <t xml:space="preserve">Pinned toolchain</t>
  </si>
  <si>
    <t xml:space="preserve">rust-toolchain.toml + package-lock.json + Python requirements lock, recorded in manifest</t>
  </si>
  <si>
    <t xml:space="preserve">Chain-spec integrity</t>
  </si>
  <si>
    <t xml:space="preserve">content hash of the generated sc-e1 spec recorded per run</t>
  </si>
  <si>
    <t xml:space="preserve">Determinism</t>
  </si>
  <si>
    <t xml:space="preserve">per-cohort RNG seeds in manifest; archetype loops deterministic given seed</t>
  </si>
  <si>
    <t xml:space="preserve">One-command execution</t>
  </si>
  <si>
    <t xml:space="preserve">just sc-e1 RUN=A SEED=1 (or equivalent make target) — no manual steps</t>
  </si>
  <si>
    <t xml:space="preserve">Artifact custody</t>
  </si>
  <si>
    <t xml:space="preserve">raw exports + verdict files uploaded as CI artifacts and content-hashed</t>
  </si>
  <si>
    <t xml:space="preserve">Manifest custody</t>
  </si>
  <si>
    <t xml:space="preserve">run manifest committed alongside results in experiments/sc-e1/results/</t>
  </si>
  <si>
    <t xml:space="preserve">Threshold immutability</t>
  </si>
  <si>
    <t xml:space="preserve">tab 01 snapshot embedded in manifest at LOCK; analysis script reads thresholds ONLY from manifest</t>
  </si>
  <si>
    <t xml:space="preserve">Independent re-run path</t>
  </si>
  <si>
    <t xml:space="preserve">a third party with the repo and manifest can reproduce verdicts without author involvement (mirrors program-level R6 discipline)</t>
  </si>
  <si>
    <t xml:space="preserve">11 — Results &amp; Decision Log</t>
  </si>
  <si>
    <t xml:space="preserve">Open decisions block pre-registration lock (P0-6). Results section is filled ONLY from verdict files, never by hand-summary.</t>
  </si>
  <si>
    <t xml:space="preserve">OPEN DECISIONS</t>
  </si>
  <si>
    <t xml:space="preserve">Decision</t>
  </si>
  <si>
    <t xml:space="preserve">Owner</t>
  </si>
  <si>
    <t xml:space="preserve">Resolution</t>
  </si>
  <si>
    <t xml:space="preserve">Date</t>
  </si>
  <si>
    <t xml:space="preserve">OD-1</t>
  </si>
  <si>
    <t xml:space="preserve">Concentration thresholds T (top-earner share) and G (Gini) for P8</t>
  </si>
  <si>
    <t xml:space="preserve">Keith</t>
  </si>
  <si>
    <t xml:space="preserve">OD-2</t>
  </si>
  <si>
    <t xml:space="preserve">Public vs private repo (Actions minutes economics; recommend IP-overlap sanity check with Jacqueline even though SC-E1 touches no patent subject matter)</t>
  </si>
  <si>
    <t xml:space="preserve">Keith + Jacqueline</t>
  </si>
  <si>
    <t xml:space="preserve">OD-3</t>
  </si>
  <si>
    <t xml:space="preserve">lambda value / target wall-clock per era (proposed 2–5 min)</t>
  </si>
  <si>
    <t xml:space="preserve">RUN VERDICTS (from verdict files only)</t>
  </si>
  <si>
    <t xml:space="preserve">Seed</t>
  </si>
  <si>
    <t xml:space="preserve">Manifest hash</t>
  </si>
  <si>
    <t xml:space="preserve">Predictions tested</t>
  </si>
  <si>
    <t xml:space="preserve">Verdicts</t>
  </si>
  <si>
    <t xml:space="preserve">M8 intact?</t>
  </si>
  <si>
    <t xml:space="preserve">SC-S-0001 (program finding — write ONLY after execution)</t>
  </si>
  <si>
    <t xml:space="preserve">Empirical status of C-1a / C-1b / C-1c with hard limits attached: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</si>
</sst>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2" t="s">
        <v>0</v>
      </c>
    </row>
    <row r="2" customFormat="false" ht="68.2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6" t="s">
        <v>4</v>
      </c>
      <c r="B5" s="7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23.25" hidden="false" customHeight="true" outlineLevel="0" collapsed="false">
      <c r="A8" s="4" t="s">
        <v>10</v>
      </c>
      <c r="B8" s="5" t="s">
        <v>11</v>
      </c>
    </row>
    <row r="9" customFormat="false" ht="23.25" hidden="false" customHeight="true" outlineLevel="0" collapsed="false">
      <c r="A9" s="4" t="s">
        <v>12</v>
      </c>
      <c r="B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2"/>
  </cols>
  <sheetData>
    <row r="1" customFormat="false" ht="15.75" hidden="false" customHeight="true" outlineLevel="0" collapsed="false">
      <c r="A1" s="2" t="s">
        <v>14</v>
      </c>
    </row>
    <row r="2" customFormat="false" ht="381.75" hidden="false" customHeight="true" outlineLevel="0" collapsed="false">
      <c r="A2" s="3" t="s">
        <v>15</v>
      </c>
    </row>
    <row r="4" customFormat="false" ht="1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</row>
    <row r="5" customFormat="false" ht="15" hidden="false" customHeight="true" outlineLevel="0" collapsed="false">
      <c r="A5" s="9" t="s">
        <v>24</v>
      </c>
      <c r="B5" s="9" t="s">
        <v>25</v>
      </c>
      <c r="C5" s="10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/>
    </row>
    <row r="6" customFormat="false" ht="23.25" hidden="false" customHeight="true" outlineLevel="0" collapsed="false">
      <c r="A6" s="9" t="s">
        <v>31</v>
      </c>
      <c r="B6" s="9" t="s">
        <v>32</v>
      </c>
      <c r="C6" s="10" t="s">
        <v>33</v>
      </c>
      <c r="D6" s="9" t="s">
        <v>27</v>
      </c>
      <c r="E6" s="9" t="s">
        <v>34</v>
      </c>
      <c r="F6" s="9" t="s">
        <v>35</v>
      </c>
      <c r="G6" s="9" t="s">
        <v>30</v>
      </c>
      <c r="H6" s="9"/>
    </row>
    <row r="7" customFormat="false" ht="23.25" hidden="false" customHeight="true" outlineLevel="0" collapsed="false">
      <c r="A7" s="9" t="s">
        <v>36</v>
      </c>
      <c r="B7" s="9" t="s">
        <v>37</v>
      </c>
      <c r="C7" s="10" t="s">
        <v>38</v>
      </c>
      <c r="D7" s="9" t="s">
        <v>39</v>
      </c>
      <c r="E7" s="9" t="s">
        <v>40</v>
      </c>
      <c r="F7" s="9" t="s">
        <v>41</v>
      </c>
      <c r="G7" s="9" t="s">
        <v>30</v>
      </c>
      <c r="H7" s="9"/>
    </row>
    <row r="8" customFormat="false" ht="15" hidden="false" customHeight="true" outlineLevel="0" collapsed="false">
      <c r="A8" s="9" t="s">
        <v>42</v>
      </c>
      <c r="B8" s="9" t="s">
        <v>43</v>
      </c>
      <c r="C8" s="10" t="s">
        <v>44</v>
      </c>
      <c r="D8" s="9" t="s">
        <v>45</v>
      </c>
      <c r="E8" s="9" t="s">
        <v>46</v>
      </c>
      <c r="F8" s="9" t="s">
        <v>47</v>
      </c>
      <c r="G8" s="9" t="s">
        <v>30</v>
      </c>
      <c r="H8" s="9"/>
    </row>
    <row r="9" customFormat="false" ht="23.25" hidden="false" customHeight="true" outlineLevel="0" collapsed="false">
      <c r="A9" s="9" t="s">
        <v>48</v>
      </c>
      <c r="B9" s="9" t="s">
        <v>49</v>
      </c>
      <c r="C9" s="10" t="s">
        <v>50</v>
      </c>
      <c r="D9" s="9" t="s">
        <v>51</v>
      </c>
      <c r="E9" s="9" t="s">
        <v>52</v>
      </c>
      <c r="F9" s="9" t="s">
        <v>53</v>
      </c>
      <c r="G9" s="9" t="s">
        <v>30</v>
      </c>
      <c r="H9" s="9"/>
    </row>
    <row r="10" customFormat="false" ht="23.25" hidden="false" customHeight="true" outlineLevel="0" collapsed="false">
      <c r="A10" s="9" t="s">
        <v>54</v>
      </c>
      <c r="B10" s="9" t="s">
        <v>55</v>
      </c>
      <c r="C10" s="10" t="s">
        <v>56</v>
      </c>
      <c r="D10" s="9" t="s">
        <v>57</v>
      </c>
      <c r="E10" s="9" t="s">
        <v>58</v>
      </c>
      <c r="F10" s="9" t="s">
        <v>59</v>
      </c>
      <c r="G10" s="9" t="s">
        <v>30</v>
      </c>
      <c r="H10" s="9"/>
    </row>
    <row r="11" customFormat="false" ht="23.25" hidden="false" customHeight="true" outlineLevel="0" collapsed="false">
      <c r="A11" s="9" t="s">
        <v>60</v>
      </c>
      <c r="B11" s="9" t="s">
        <v>61</v>
      </c>
      <c r="C11" s="10" t="s">
        <v>38</v>
      </c>
      <c r="D11" s="9" t="s">
        <v>62</v>
      </c>
      <c r="E11" s="9" t="s">
        <v>63</v>
      </c>
      <c r="F11" s="9" t="s">
        <v>64</v>
      </c>
      <c r="G11" s="9" t="s">
        <v>30</v>
      </c>
      <c r="H11" s="9"/>
    </row>
    <row r="12" customFormat="false" ht="23.25" hidden="false" customHeight="true" outlineLevel="0" collapsed="false">
      <c r="A12" s="9" t="s">
        <v>65</v>
      </c>
      <c r="B12" s="9" t="s">
        <v>66</v>
      </c>
      <c r="C12" s="10" t="s">
        <v>67</v>
      </c>
      <c r="D12" s="9" t="s">
        <v>27</v>
      </c>
      <c r="E12" s="9" t="s">
        <v>68</v>
      </c>
      <c r="F12" s="9" t="s">
        <v>69</v>
      </c>
      <c r="G12" s="11" t="s">
        <v>70</v>
      </c>
      <c r="H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2" t="s">
        <v>71</v>
      </c>
    </row>
    <row r="2" customFormat="false" ht="493.5" hidden="false" customHeight="true" outlineLevel="0" collapsed="false">
      <c r="A2" s="3" t="s">
        <v>72</v>
      </c>
    </row>
    <row r="4" customFormat="false" ht="15" hidden="false" customHeight="true" outlineLevel="0" collapsed="false">
      <c r="A4" s="8" t="s">
        <v>16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</row>
    <row r="5" customFormat="false" ht="34.5" hidden="false" customHeight="true" outlineLevel="0" collapsed="false">
      <c r="A5" s="9" t="s">
        <v>78</v>
      </c>
      <c r="B5" s="9" t="s">
        <v>79</v>
      </c>
      <c r="C5" s="9" t="s">
        <v>80</v>
      </c>
      <c r="D5" s="9" t="s">
        <v>81</v>
      </c>
      <c r="E5" s="9" t="s">
        <v>82</v>
      </c>
      <c r="F5" s="9" t="s">
        <v>83</v>
      </c>
    </row>
    <row r="6" customFormat="false" ht="23.25" hidden="false" customHeight="true" outlineLevel="0" collapsed="false">
      <c r="A6" s="9" t="s">
        <v>84</v>
      </c>
      <c r="B6" s="9" t="s">
        <v>85</v>
      </c>
      <c r="C6" s="9" t="s">
        <v>86</v>
      </c>
      <c r="D6" s="9" t="s">
        <v>87</v>
      </c>
      <c r="E6" s="9" t="s">
        <v>88</v>
      </c>
      <c r="F6" s="9" t="s">
        <v>89</v>
      </c>
    </row>
    <row r="7" customFormat="false" ht="23.25" hidden="false" customHeight="true" outlineLevel="0" collapsed="false">
      <c r="A7" s="9" t="s">
        <v>90</v>
      </c>
      <c r="B7" s="9" t="s">
        <v>91</v>
      </c>
      <c r="C7" s="9" t="s">
        <v>92</v>
      </c>
      <c r="D7" s="9" t="s">
        <v>93</v>
      </c>
      <c r="E7" s="9" t="s">
        <v>42</v>
      </c>
      <c r="F7" s="9" t="s">
        <v>94</v>
      </c>
    </row>
    <row r="8" customFormat="false" ht="23.25" hidden="false" customHeight="true" outlineLevel="0" collapsed="false">
      <c r="A8" s="9" t="s">
        <v>95</v>
      </c>
      <c r="B8" s="9" t="s">
        <v>96</v>
      </c>
      <c r="C8" s="9" t="s">
        <v>97</v>
      </c>
      <c r="D8" s="9" t="s">
        <v>98</v>
      </c>
      <c r="E8" s="9" t="s">
        <v>48</v>
      </c>
      <c r="F8" s="9" t="s">
        <v>99</v>
      </c>
    </row>
    <row r="9" customFormat="false" ht="23.25" hidden="false" customHeight="true" outlineLevel="0" collapsed="false">
      <c r="A9" s="9" t="s">
        <v>100</v>
      </c>
      <c r="B9" s="9" t="s">
        <v>101</v>
      </c>
      <c r="C9" s="9" t="s">
        <v>102</v>
      </c>
      <c r="D9" s="9" t="s">
        <v>103</v>
      </c>
      <c r="E9" s="9" t="s">
        <v>54</v>
      </c>
      <c r="F9" s="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32"/>
  </cols>
  <sheetData>
    <row r="1" customFormat="false" ht="15.75" hidden="false" customHeight="true" outlineLevel="0" collapsed="false">
      <c r="A1" s="2" t="s">
        <v>105</v>
      </c>
    </row>
    <row r="2" customFormat="false" ht="79.5" hidden="false" customHeight="true" outlineLevel="0" collapsed="false">
      <c r="A2" s="3" t="s">
        <v>106</v>
      </c>
    </row>
    <row r="4" customFormat="false" ht="23.25" hidden="false" customHeight="true" outlineLevel="0" collapsed="false">
      <c r="A4" s="8" t="s">
        <v>107</v>
      </c>
      <c r="B4" s="8" t="s">
        <v>108</v>
      </c>
      <c r="C4" s="8" t="s">
        <v>109</v>
      </c>
      <c r="D4" s="8" t="s">
        <v>110</v>
      </c>
      <c r="E4" s="8" t="s">
        <v>111</v>
      </c>
      <c r="F4" s="8" t="s">
        <v>112</v>
      </c>
    </row>
    <row r="5" customFormat="false" ht="15" hidden="false" customHeight="true" outlineLevel="0" collapsed="false">
      <c r="A5" s="9" t="s">
        <v>113</v>
      </c>
      <c r="B5" s="9" t="s">
        <v>114</v>
      </c>
      <c r="C5" s="9" t="s">
        <v>115</v>
      </c>
      <c r="D5" s="9" t="s">
        <v>116</v>
      </c>
      <c r="E5" s="11" t="s">
        <v>117</v>
      </c>
      <c r="F5" s="9" t="s">
        <v>118</v>
      </c>
    </row>
    <row r="6" customFormat="false" ht="15" hidden="false" customHeight="true" outlineLevel="0" collapsed="false">
      <c r="A6" s="9" t="s">
        <v>119</v>
      </c>
      <c r="B6" s="9" t="s">
        <v>120</v>
      </c>
      <c r="C6" s="9" t="s">
        <v>121</v>
      </c>
      <c r="D6" s="9" t="s">
        <v>116</v>
      </c>
      <c r="E6" s="11" t="s">
        <v>117</v>
      </c>
      <c r="F6" s="9" t="s">
        <v>122</v>
      </c>
    </row>
    <row r="7" customFormat="false" ht="15" hidden="false" customHeight="true" outlineLevel="0" collapsed="false">
      <c r="A7" s="9" t="s">
        <v>123</v>
      </c>
      <c r="B7" s="9" t="s">
        <v>124</v>
      </c>
      <c r="C7" s="9" t="s">
        <v>121</v>
      </c>
      <c r="D7" s="9" t="s">
        <v>116</v>
      </c>
      <c r="E7" s="11" t="s">
        <v>117</v>
      </c>
      <c r="F7" s="9" t="s">
        <v>125</v>
      </c>
    </row>
    <row r="8" customFormat="false" ht="15" hidden="false" customHeight="true" outlineLevel="0" collapsed="false">
      <c r="A8" s="9" t="s">
        <v>126</v>
      </c>
      <c r="B8" s="9" t="s">
        <v>127</v>
      </c>
      <c r="C8" s="9" t="s">
        <v>121</v>
      </c>
      <c r="D8" s="9" t="s">
        <v>116</v>
      </c>
      <c r="E8" s="11" t="s">
        <v>117</v>
      </c>
      <c r="F8" s="9" t="s">
        <v>118</v>
      </c>
    </row>
    <row r="9" customFormat="false" ht="15" hidden="false" customHeight="true" outlineLevel="0" collapsed="false">
      <c r="A9" s="9" t="s">
        <v>128</v>
      </c>
      <c r="B9" s="9" t="s">
        <v>129</v>
      </c>
      <c r="C9" s="9" t="s">
        <v>121</v>
      </c>
      <c r="D9" s="9" t="s">
        <v>116</v>
      </c>
      <c r="E9" s="11" t="s">
        <v>117</v>
      </c>
      <c r="F9" s="9" t="s">
        <v>130</v>
      </c>
    </row>
    <row r="10" customFormat="false" ht="15" hidden="false" customHeight="true" outlineLevel="0" collapsed="false">
      <c r="A10" s="9" t="s">
        <v>131</v>
      </c>
      <c r="B10" s="9" t="s">
        <v>132</v>
      </c>
      <c r="C10" s="9" t="s">
        <v>133</v>
      </c>
      <c r="D10" s="9" t="s">
        <v>116</v>
      </c>
      <c r="E10" s="11" t="s">
        <v>117</v>
      </c>
      <c r="F10" s="9" t="s">
        <v>134</v>
      </c>
    </row>
    <row r="11" customFormat="false" ht="15" hidden="false" customHeight="true" outlineLevel="0" collapsed="false">
      <c r="A11" s="9" t="s">
        <v>135</v>
      </c>
      <c r="B11" s="9" t="s">
        <v>136</v>
      </c>
      <c r="C11" s="9" t="s">
        <v>137</v>
      </c>
      <c r="D11" s="9" t="s">
        <v>116</v>
      </c>
      <c r="E11" s="11" t="s">
        <v>117</v>
      </c>
      <c r="F11" s="9" t="s">
        <v>134</v>
      </c>
    </row>
    <row r="12" customFormat="false" ht="15" hidden="false" customHeight="true" outlineLevel="0" collapsed="false">
      <c r="A12" s="9" t="s">
        <v>138</v>
      </c>
      <c r="B12" s="9" t="s">
        <v>139</v>
      </c>
      <c r="C12" s="9" t="s">
        <v>121</v>
      </c>
      <c r="D12" s="9" t="s">
        <v>116</v>
      </c>
      <c r="E12" s="11" t="s">
        <v>117</v>
      </c>
      <c r="F12" s="9" t="s">
        <v>125</v>
      </c>
    </row>
    <row r="13" customFormat="false" ht="15" hidden="false" customHeight="true" outlineLevel="0" collapsed="false">
      <c r="A13" s="9" t="s">
        <v>140</v>
      </c>
      <c r="B13" s="9" t="s">
        <v>141</v>
      </c>
      <c r="C13" s="9" t="s">
        <v>121</v>
      </c>
      <c r="D13" s="9" t="s">
        <v>116</v>
      </c>
      <c r="E13" s="11" t="s">
        <v>117</v>
      </c>
      <c r="F13" s="9" t="s">
        <v>142</v>
      </c>
    </row>
    <row r="14" customFormat="false" ht="15" hidden="false" customHeight="true" outlineLevel="0" collapsed="false">
      <c r="A14" s="9" t="s">
        <v>143</v>
      </c>
      <c r="B14" s="9" t="s">
        <v>144</v>
      </c>
      <c r="C14" s="9" t="s">
        <v>145</v>
      </c>
      <c r="D14" s="9" t="s">
        <v>116</v>
      </c>
      <c r="E14" s="11" t="s">
        <v>117</v>
      </c>
      <c r="F14" s="9" t="s">
        <v>146</v>
      </c>
    </row>
    <row r="15" customFormat="false" ht="15" hidden="false" customHeight="true" outlineLevel="0" collapsed="false">
      <c r="A15" s="9" t="s">
        <v>147</v>
      </c>
      <c r="B15" s="9" t="s">
        <v>148</v>
      </c>
      <c r="C15" s="9" t="s">
        <v>149</v>
      </c>
      <c r="D15" s="9" t="s">
        <v>116</v>
      </c>
      <c r="E15" s="11" t="s">
        <v>117</v>
      </c>
      <c r="F15" s="9" t="s">
        <v>146</v>
      </c>
    </row>
    <row r="16" customFormat="false" ht="15" hidden="false" customHeight="true" outlineLevel="0" collapsed="false">
      <c r="A16" s="9" t="s">
        <v>150</v>
      </c>
      <c r="B16" s="9" t="s">
        <v>151</v>
      </c>
      <c r="C16" s="9" t="s">
        <v>152</v>
      </c>
      <c r="D16" s="9" t="s">
        <v>153</v>
      </c>
      <c r="E16" s="11" t="s">
        <v>117</v>
      </c>
      <c r="F16" s="9" t="s">
        <v>154</v>
      </c>
    </row>
    <row r="17" customFormat="false" ht="23.25" hidden="false" customHeight="true" outlineLevel="0" collapsed="false">
      <c r="A17" s="9" t="s">
        <v>155</v>
      </c>
      <c r="B17" s="9" t="s">
        <v>156</v>
      </c>
      <c r="C17" s="9" t="s">
        <v>157</v>
      </c>
      <c r="D17" s="9" t="s">
        <v>158</v>
      </c>
      <c r="E17" s="11" t="s">
        <v>117</v>
      </c>
      <c r="F17" s="9" t="s">
        <v>159</v>
      </c>
    </row>
    <row r="18" customFormat="false" ht="23.25" hidden="false" customHeight="true" outlineLevel="0" collapsed="false">
      <c r="A18" s="9" t="s">
        <v>160</v>
      </c>
      <c r="B18" s="9" t="s">
        <v>161</v>
      </c>
      <c r="C18" s="9" t="s">
        <v>152</v>
      </c>
      <c r="D18" s="9" t="s">
        <v>153</v>
      </c>
      <c r="E18" s="11" t="s">
        <v>117</v>
      </c>
      <c r="F18" s="9" t="s">
        <v>118</v>
      </c>
    </row>
    <row r="19" customFormat="false" ht="15" hidden="false" customHeight="true" outlineLevel="0" collapsed="false">
      <c r="A19" s="9" t="s">
        <v>162</v>
      </c>
      <c r="B19" s="9" t="s">
        <v>151</v>
      </c>
      <c r="C19" s="9" t="s">
        <v>152</v>
      </c>
      <c r="D19" s="9" t="s">
        <v>153</v>
      </c>
      <c r="E19" s="11" t="s">
        <v>117</v>
      </c>
      <c r="F19" s="9" t="s">
        <v>163</v>
      </c>
    </row>
    <row r="20" customFormat="false" ht="15" hidden="false" customHeight="true" outlineLevel="0" collapsed="false">
      <c r="A20" s="9" t="s">
        <v>164</v>
      </c>
      <c r="B20" s="9" t="s">
        <v>165</v>
      </c>
      <c r="C20" s="9" t="s">
        <v>152</v>
      </c>
      <c r="D20" s="9" t="s">
        <v>153</v>
      </c>
      <c r="E20" s="11" t="s">
        <v>117</v>
      </c>
      <c r="F20" s="9" t="s">
        <v>134</v>
      </c>
    </row>
    <row r="21" customFormat="false" ht="23.25" hidden="false" customHeight="true" outlineLevel="0" collapsed="false">
      <c r="A21" s="9" t="s">
        <v>166</v>
      </c>
      <c r="B21" s="9" t="s">
        <v>167</v>
      </c>
      <c r="C21" s="9" t="s">
        <v>168</v>
      </c>
      <c r="D21" s="9" t="s">
        <v>168</v>
      </c>
      <c r="E21" s="11" t="s">
        <v>169</v>
      </c>
      <c r="F21" s="9" t="s">
        <v>170</v>
      </c>
    </row>
    <row r="22" customFormat="false" ht="15" hidden="false" customHeight="true" outlineLevel="0" collapsed="false">
      <c r="A22" s="9" t="s">
        <v>171</v>
      </c>
      <c r="B22" s="9" t="s">
        <v>172</v>
      </c>
      <c r="C22" s="9" t="s">
        <v>149</v>
      </c>
      <c r="D22" s="9" t="s">
        <v>173</v>
      </c>
      <c r="E22" s="11" t="s">
        <v>174</v>
      </c>
      <c r="F22" s="9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52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20"/>
  </cols>
  <sheetData>
    <row r="1" customFormat="false" ht="15.75" hidden="false" customHeight="true" outlineLevel="0" collapsed="false">
      <c r="A1" s="2" t="s">
        <v>176</v>
      </c>
    </row>
    <row r="2" customFormat="false" ht="459.75" hidden="false" customHeight="true" outlineLevel="0" collapsed="false">
      <c r="A2" s="3" t="s">
        <v>177</v>
      </c>
    </row>
    <row r="4" customFormat="false" ht="15" hidden="false" customHeight="true" outlineLevel="0" collapsed="false">
      <c r="A4" s="8" t="s">
        <v>16</v>
      </c>
      <c r="B4" s="8" t="s">
        <v>20</v>
      </c>
      <c r="C4" s="8" t="s">
        <v>178</v>
      </c>
      <c r="D4" s="8" t="s">
        <v>179</v>
      </c>
      <c r="E4" s="8" t="s">
        <v>180</v>
      </c>
      <c r="F4" s="8" t="s">
        <v>181</v>
      </c>
    </row>
    <row r="5" customFormat="false" ht="23.25" hidden="false" customHeight="true" outlineLevel="0" collapsed="false">
      <c r="A5" s="9" t="s">
        <v>182</v>
      </c>
      <c r="B5" s="9" t="s">
        <v>183</v>
      </c>
      <c r="C5" s="9" t="s">
        <v>184</v>
      </c>
      <c r="D5" s="9" t="s">
        <v>185</v>
      </c>
      <c r="E5" s="9" t="s">
        <v>186</v>
      </c>
      <c r="F5" s="9" t="s">
        <v>187</v>
      </c>
    </row>
    <row r="6" customFormat="false" ht="23.25" hidden="false" customHeight="true" outlineLevel="0" collapsed="false">
      <c r="A6" s="9" t="s">
        <v>28</v>
      </c>
      <c r="B6" s="9" t="s">
        <v>188</v>
      </c>
      <c r="C6" s="9" t="s">
        <v>189</v>
      </c>
      <c r="D6" s="9" t="s">
        <v>190</v>
      </c>
      <c r="E6" s="9" t="s">
        <v>186</v>
      </c>
      <c r="F6" s="9" t="s">
        <v>191</v>
      </c>
    </row>
    <row r="7" customFormat="false" ht="23.25" hidden="false" customHeight="true" outlineLevel="0" collapsed="false">
      <c r="A7" s="9" t="s">
        <v>34</v>
      </c>
      <c r="B7" s="9" t="s">
        <v>192</v>
      </c>
      <c r="C7" s="9" t="s">
        <v>193</v>
      </c>
      <c r="D7" s="9" t="s">
        <v>194</v>
      </c>
      <c r="E7" s="9" t="s">
        <v>186</v>
      </c>
      <c r="F7" s="9" t="s">
        <v>195</v>
      </c>
    </row>
    <row r="8" customFormat="false" ht="15" hidden="false" customHeight="true" outlineLevel="0" collapsed="false">
      <c r="A8" s="9" t="s">
        <v>46</v>
      </c>
      <c r="B8" s="9" t="s">
        <v>196</v>
      </c>
      <c r="C8" s="9" t="s">
        <v>197</v>
      </c>
      <c r="D8" s="9" t="s">
        <v>198</v>
      </c>
      <c r="E8" s="9" t="s">
        <v>186</v>
      </c>
      <c r="F8" s="9" t="s">
        <v>42</v>
      </c>
    </row>
    <row r="9" customFormat="false" ht="23.25" hidden="false" customHeight="true" outlineLevel="0" collapsed="false">
      <c r="A9" s="9" t="s">
        <v>199</v>
      </c>
      <c r="B9" s="9" t="s">
        <v>200</v>
      </c>
      <c r="C9" s="9" t="s">
        <v>201</v>
      </c>
      <c r="D9" s="9" t="s">
        <v>202</v>
      </c>
      <c r="E9" s="9" t="s">
        <v>203</v>
      </c>
      <c r="F9" s="9" t="s">
        <v>48</v>
      </c>
    </row>
    <row r="10" customFormat="false" ht="23.25" hidden="false" customHeight="true" outlineLevel="0" collapsed="false">
      <c r="A10" s="9" t="s">
        <v>63</v>
      </c>
      <c r="B10" s="9" t="s">
        <v>204</v>
      </c>
      <c r="C10" s="9" t="s">
        <v>205</v>
      </c>
      <c r="D10" s="9" t="s">
        <v>206</v>
      </c>
      <c r="E10" s="9" t="s">
        <v>186</v>
      </c>
      <c r="F10" s="9" t="s">
        <v>60</v>
      </c>
    </row>
    <row r="11" customFormat="false" ht="15" hidden="false" customHeight="true" outlineLevel="0" collapsed="false">
      <c r="A11" s="9" t="s">
        <v>68</v>
      </c>
      <c r="B11" s="9" t="s">
        <v>207</v>
      </c>
      <c r="C11" s="9" t="s">
        <v>208</v>
      </c>
      <c r="D11" s="9" t="s">
        <v>209</v>
      </c>
      <c r="E11" s="9" t="s">
        <v>186</v>
      </c>
      <c r="F11" s="9" t="s">
        <v>65</v>
      </c>
    </row>
    <row r="12" customFormat="false" ht="23.25" hidden="false" customHeight="true" outlineLevel="0" collapsed="false">
      <c r="A12" s="12" t="s">
        <v>210</v>
      </c>
      <c r="B12" s="12" t="s">
        <v>211</v>
      </c>
      <c r="C12" s="12" t="s">
        <v>212</v>
      </c>
      <c r="D12" s="12" t="s">
        <v>213</v>
      </c>
      <c r="E12" s="12" t="s">
        <v>214</v>
      </c>
      <c r="F12" s="1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5" min="4" style="1" width="9"/>
    <col collapsed="false" customWidth="true" hidden="false" outlineLevel="0" max="6" min="6" style="1" width="24"/>
    <col collapsed="false" customWidth="true" hidden="false" outlineLevel="0" max="7" min="7" style="1" width="26"/>
  </cols>
  <sheetData>
    <row r="1" customFormat="false" ht="15.75" hidden="false" customHeight="true" outlineLevel="0" collapsed="false">
      <c r="A1" s="2" t="s">
        <v>216</v>
      </c>
    </row>
    <row r="2" customFormat="false" ht="325.5" hidden="false" customHeight="true" outlineLevel="0" collapsed="false">
      <c r="A2" s="3" t="s">
        <v>217</v>
      </c>
    </row>
    <row r="4" customFormat="false" ht="15" hidden="false" customHeight="true" outlineLevel="0" collapsed="false">
      <c r="A4" s="8" t="s">
        <v>19</v>
      </c>
      <c r="B4" s="8" t="s">
        <v>218</v>
      </c>
      <c r="C4" s="8" t="s">
        <v>219</v>
      </c>
      <c r="D4" s="8" t="s">
        <v>220</v>
      </c>
      <c r="E4" s="8" t="s">
        <v>221</v>
      </c>
      <c r="F4" s="8" t="s">
        <v>222</v>
      </c>
      <c r="G4" s="8" t="s">
        <v>223</v>
      </c>
    </row>
    <row r="5" customFormat="false" ht="23.25" hidden="false" customHeight="true" outlineLevel="0" collapsed="false">
      <c r="A5" s="9" t="s">
        <v>27</v>
      </c>
      <c r="B5" s="9" t="s">
        <v>224</v>
      </c>
      <c r="C5" s="9" t="s">
        <v>225</v>
      </c>
      <c r="D5" s="9" t="s">
        <v>226</v>
      </c>
      <c r="E5" s="9" t="s">
        <v>227</v>
      </c>
      <c r="F5" s="9" t="s">
        <v>228</v>
      </c>
      <c r="G5" s="9" t="s">
        <v>225</v>
      </c>
    </row>
    <row r="6" customFormat="false" ht="23.25" hidden="false" customHeight="true" outlineLevel="0" collapsed="false">
      <c r="A6" s="9" t="s">
        <v>39</v>
      </c>
      <c r="B6" s="9" t="s">
        <v>229</v>
      </c>
      <c r="C6" s="9" t="s">
        <v>230</v>
      </c>
      <c r="D6" s="9" t="s">
        <v>226</v>
      </c>
      <c r="E6" s="9" t="s">
        <v>227</v>
      </c>
      <c r="F6" s="9" t="s">
        <v>231</v>
      </c>
      <c r="G6" s="9" t="s">
        <v>225</v>
      </c>
    </row>
    <row r="7" customFormat="false" ht="15" hidden="false" customHeight="true" outlineLevel="0" collapsed="false">
      <c r="A7" s="9" t="s">
        <v>45</v>
      </c>
      <c r="B7" s="9" t="s">
        <v>232</v>
      </c>
      <c r="C7" s="9" t="s">
        <v>225</v>
      </c>
      <c r="D7" s="9" t="s">
        <v>127</v>
      </c>
      <c r="E7" s="9" t="s">
        <v>227</v>
      </c>
      <c r="F7" s="9" t="s">
        <v>42</v>
      </c>
      <c r="G7" s="9" t="s">
        <v>225</v>
      </c>
    </row>
    <row r="8" customFormat="false" ht="15" hidden="false" customHeight="true" outlineLevel="0" collapsed="false">
      <c r="A8" s="9" t="s">
        <v>51</v>
      </c>
      <c r="B8" s="9" t="s">
        <v>233</v>
      </c>
      <c r="C8" s="9" t="s">
        <v>225</v>
      </c>
      <c r="D8" s="9" t="s">
        <v>127</v>
      </c>
      <c r="E8" s="9" t="s">
        <v>227</v>
      </c>
      <c r="F8" s="9" t="s">
        <v>48</v>
      </c>
      <c r="G8" s="9" t="s">
        <v>225</v>
      </c>
    </row>
    <row r="9" customFormat="false" ht="15" hidden="false" customHeight="true" outlineLevel="0" collapsed="false">
      <c r="A9" s="9" t="s">
        <v>57</v>
      </c>
      <c r="B9" s="9" t="s">
        <v>234</v>
      </c>
      <c r="C9" s="9" t="s">
        <v>225</v>
      </c>
      <c r="D9" s="9" t="s">
        <v>127</v>
      </c>
      <c r="E9" s="9" t="s">
        <v>235</v>
      </c>
      <c r="F9" s="9" t="s">
        <v>54</v>
      </c>
      <c r="G9" s="9" t="s">
        <v>225</v>
      </c>
    </row>
    <row r="10" customFormat="false" ht="23.25" hidden="false" customHeight="true" outlineLevel="0" collapsed="false">
      <c r="A10" s="9" t="s">
        <v>62</v>
      </c>
      <c r="B10" s="9" t="s">
        <v>236</v>
      </c>
      <c r="C10" s="9" t="s">
        <v>225</v>
      </c>
      <c r="D10" s="9" t="s">
        <v>129</v>
      </c>
      <c r="E10" s="9" t="s">
        <v>227</v>
      </c>
      <c r="F10" s="9" t="s">
        <v>60</v>
      </c>
      <c r="G10" s="9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238</v>
      </c>
    </row>
    <row r="2" customFormat="false" ht="45.75" hidden="false" customHeight="true" outlineLevel="0" collapsed="false">
      <c r="A2" s="3" t="s">
        <v>239</v>
      </c>
    </row>
    <row r="4" customFormat="false" ht="15" hidden="false" customHeight="true" outlineLevel="0" collapsed="false">
      <c r="A4" s="13" t="s">
        <v>240</v>
      </c>
      <c r="B4" s="14"/>
      <c r="C4" s="14"/>
    </row>
    <row r="5" customFormat="false" ht="15" hidden="false" customHeight="true" outlineLevel="0" collapsed="false">
      <c r="A5" s="5" t="s">
        <v>241</v>
      </c>
      <c r="B5" s="15" t="n">
        <v>10</v>
      </c>
      <c r="C5" s="3" t="s">
        <v>242</v>
      </c>
    </row>
    <row r="6" customFormat="false" ht="15" hidden="false" customHeight="true" outlineLevel="0" collapsed="false">
      <c r="A6" s="5" t="s">
        <v>243</v>
      </c>
      <c r="B6" s="15" t="n">
        <v>1</v>
      </c>
      <c r="C6" s="3" t="s">
        <v>244</v>
      </c>
    </row>
    <row r="7" customFormat="false" ht="15" hidden="false" customHeight="true" outlineLevel="0" collapsed="false">
      <c r="A7" s="5" t="s">
        <v>245</v>
      </c>
      <c r="B7" s="15" t="n">
        <v>0</v>
      </c>
      <c r="C7" s="3" t="s">
        <v>246</v>
      </c>
    </row>
    <row r="8" customFormat="false" ht="23.25" hidden="false" customHeight="true" outlineLevel="0" collapsed="false">
      <c r="A8" s="5" t="s">
        <v>247</v>
      </c>
      <c r="B8" s="15" t="n">
        <v>0</v>
      </c>
      <c r="C8" s="3" t="s">
        <v>248</v>
      </c>
    </row>
    <row r="9" customFormat="false" ht="15" hidden="false" customHeight="true" outlineLevel="0" collapsed="false">
      <c r="A9" s="16" t="s">
        <v>249</v>
      </c>
      <c r="B9" s="17" t="n">
        <f aca="false">B5*(B6+B7)</f>
        <v>10</v>
      </c>
    </row>
    <row r="10" customFormat="false" ht="15" hidden="false" customHeight="true" outlineLevel="0" collapsed="false">
      <c r="A10" s="16" t="s">
        <v>250</v>
      </c>
      <c r="B10" s="17" t="n">
        <f aca="false">B8-B9</f>
        <v>-10</v>
      </c>
    </row>
    <row r="11" customFormat="false" ht="15" hidden="false" customHeight="true" outlineLevel="0" collapsed="false">
      <c r="A11" s="16" t="s">
        <v>251</v>
      </c>
      <c r="B11" s="17" t="str">
        <f aca="false">IF(B10&lt;0,"NET-NEGATIVE — P4 expected to PASS","NET-POSITIVE — sybil guard gap, P4 expected to FAIL")</f>
        <v>NET-NEGATIVE — P4 expected to PASS</v>
      </c>
    </row>
    <row r="13" customFormat="false" ht="15" hidden="false" customHeight="true" outlineLevel="0" collapsed="false">
      <c r="A13" s="13" t="s">
        <v>252</v>
      </c>
      <c r="B13" s="14"/>
      <c r="C13" s="14"/>
    </row>
    <row r="14" customFormat="false" ht="15" hidden="false" customHeight="true" outlineLevel="0" collapsed="false">
      <c r="A14" s="5" t="s">
        <v>253</v>
      </c>
      <c r="B14" s="15" t="n">
        <v>100</v>
      </c>
      <c r="C14" s="3" t="s">
        <v>242</v>
      </c>
    </row>
    <row r="15" customFormat="false" ht="15" hidden="false" customHeight="true" outlineLevel="0" collapsed="false">
      <c r="A15" s="5" t="s">
        <v>254</v>
      </c>
      <c r="B15" s="15" t="n">
        <v>3</v>
      </c>
      <c r="C15" s="3" t="s">
        <v>255</v>
      </c>
    </row>
    <row r="16" customFormat="false" ht="15" hidden="false" customHeight="true" outlineLevel="0" collapsed="false">
      <c r="A16" s="5" t="s">
        <v>256</v>
      </c>
      <c r="B16" s="15" t="n">
        <v>10</v>
      </c>
      <c r="C16" s="3" t="s">
        <v>246</v>
      </c>
    </row>
    <row r="17" customFormat="false" ht="15" hidden="false" customHeight="true" outlineLevel="0" collapsed="false">
      <c r="A17" s="5" t="s">
        <v>257</v>
      </c>
      <c r="B17" s="15" t="n">
        <v>0</v>
      </c>
      <c r="C17" s="3" t="s">
        <v>258</v>
      </c>
    </row>
    <row r="18" customFormat="false" ht="23.25" hidden="false" customHeight="true" outlineLevel="0" collapsed="false">
      <c r="A18" s="5" t="s">
        <v>259</v>
      </c>
      <c r="B18" s="15" t="n">
        <v>0</v>
      </c>
      <c r="C18" s="3" t="s">
        <v>258</v>
      </c>
    </row>
    <row r="19" customFormat="false" ht="15" hidden="false" customHeight="true" outlineLevel="0" collapsed="false">
      <c r="A19" s="5" t="s">
        <v>260</v>
      </c>
      <c r="B19" s="15" t="n">
        <v>1</v>
      </c>
      <c r="C19" s="3" t="s">
        <v>261</v>
      </c>
    </row>
    <row r="20" customFormat="false" ht="15" hidden="false" customHeight="true" outlineLevel="0" collapsed="false">
      <c r="A20" s="16" t="s">
        <v>262</v>
      </c>
      <c r="B20" s="17" t="n">
        <f aca="false">(B14+B15*B16)*B19</f>
        <v>130</v>
      </c>
    </row>
    <row r="21" customFormat="false" ht="15" hidden="false" customHeight="true" outlineLevel="0" collapsed="false">
      <c r="A21" s="16" t="s">
        <v>263</v>
      </c>
      <c r="B21" s="17" t="n">
        <f aca="false">B17+B18</f>
        <v>0</v>
      </c>
    </row>
    <row r="22" customFormat="false" ht="15" hidden="false" customHeight="true" outlineLevel="0" collapsed="false">
      <c r="A22" s="16" t="s">
        <v>264</v>
      </c>
      <c r="B22" s="17" t="n">
        <f aca="false">B21-B20</f>
        <v>-130</v>
      </c>
    </row>
    <row r="23" customFormat="false" ht="15" hidden="false" customHeight="true" outlineLevel="0" collapsed="false">
      <c r="A23" s="16" t="s">
        <v>265</v>
      </c>
      <c r="B23" s="17" t="str">
        <f aca="false">IF(B22&lt;0,"NET-NEGATIVE — P5 expected to PASS","NET-POSITIVE — volume-gate gap, P5 expected to FAIL")</f>
        <v>NET-NEGATIVE — P5 expected to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5" min="4" style="1" width="36"/>
  </cols>
  <sheetData>
    <row r="1" customFormat="false" ht="15.75" hidden="false" customHeight="true" outlineLevel="0" collapsed="false">
      <c r="A1" s="2" t="s">
        <v>266</v>
      </c>
    </row>
    <row r="2" customFormat="false" ht="247.5" hidden="false" customHeight="true" outlineLevel="0" collapsed="false">
      <c r="A2" s="3" t="s">
        <v>267</v>
      </c>
    </row>
    <row r="4" customFormat="false" ht="15" hidden="false" customHeight="true" outlineLevel="0" collapsed="false">
      <c r="A4" s="8" t="s">
        <v>16</v>
      </c>
      <c r="B4" s="8" t="s">
        <v>268</v>
      </c>
      <c r="C4" s="8" t="s">
        <v>269</v>
      </c>
      <c r="D4" s="8" t="s">
        <v>270</v>
      </c>
      <c r="E4" s="8" t="s">
        <v>271</v>
      </c>
    </row>
    <row r="5" customFormat="false" ht="23.25" hidden="false" customHeight="true" outlineLevel="0" collapsed="false">
      <c r="A5" s="9" t="s">
        <v>272</v>
      </c>
      <c r="B5" s="9" t="s">
        <v>273</v>
      </c>
      <c r="C5" s="9" t="s">
        <v>274</v>
      </c>
      <c r="D5" s="9" t="s">
        <v>275</v>
      </c>
      <c r="E5" s="9" t="s">
        <v>276</v>
      </c>
    </row>
    <row r="6" customFormat="false" ht="23.25" hidden="false" customHeight="true" outlineLevel="0" collapsed="false">
      <c r="A6" s="9" t="s">
        <v>277</v>
      </c>
      <c r="B6" s="9" t="s">
        <v>278</v>
      </c>
      <c r="C6" s="9" t="s">
        <v>279</v>
      </c>
      <c r="D6" s="9" t="s">
        <v>280</v>
      </c>
      <c r="E6" s="9" t="s">
        <v>281</v>
      </c>
    </row>
    <row r="7" customFormat="false" ht="23.25" hidden="false" customHeight="true" outlineLevel="0" collapsed="false">
      <c r="A7" s="9" t="s">
        <v>282</v>
      </c>
      <c r="B7" s="9" t="s">
        <v>283</v>
      </c>
      <c r="C7" s="9" t="s">
        <v>284</v>
      </c>
      <c r="D7" s="9" t="s">
        <v>285</v>
      </c>
      <c r="E7" s="9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2"/>
    <col collapsed="false" customWidth="true" hidden="false" outlineLevel="0" max="3" min="3" style="1" width="70"/>
  </cols>
  <sheetData>
    <row r="1" customFormat="false" ht="15.75" hidden="false" customHeight="true" outlineLevel="0" collapsed="false">
      <c r="A1" s="2" t="s">
        <v>287</v>
      </c>
    </row>
    <row r="2" customFormat="false" ht="135.75" hidden="false" customHeight="true" outlineLevel="0" collapsed="false">
      <c r="A2" s="3" t="s">
        <v>288</v>
      </c>
    </row>
    <row r="4" customFormat="false" ht="15" hidden="false" customHeight="true" outlineLevel="0" collapsed="false">
      <c r="A4" s="8" t="s">
        <v>16</v>
      </c>
      <c r="B4" s="8" t="s">
        <v>289</v>
      </c>
      <c r="C4" s="8" t="s">
        <v>290</v>
      </c>
    </row>
    <row r="5" customFormat="false" ht="15" hidden="false" customHeight="true" outlineLevel="0" collapsed="false">
      <c r="A5" s="9" t="s">
        <v>291</v>
      </c>
      <c r="B5" s="9" t="s">
        <v>292</v>
      </c>
      <c r="C5" s="9" t="s">
        <v>293</v>
      </c>
    </row>
    <row r="6" customFormat="false" ht="23.25" hidden="false" customHeight="true" outlineLevel="0" collapsed="false">
      <c r="A6" s="9" t="s">
        <v>294</v>
      </c>
      <c r="B6" s="9" t="s">
        <v>295</v>
      </c>
      <c r="C6" s="9" t="s">
        <v>296</v>
      </c>
    </row>
    <row r="7" customFormat="false" ht="23.25" hidden="false" customHeight="true" outlineLevel="0" collapsed="false">
      <c r="A7" s="9" t="s">
        <v>297</v>
      </c>
      <c r="B7" s="9" t="s">
        <v>298</v>
      </c>
      <c r="C7" s="9" t="s">
        <v>299</v>
      </c>
    </row>
    <row r="8" customFormat="false" ht="15" hidden="false" customHeight="true" outlineLevel="0" collapsed="false">
      <c r="A8" s="9" t="s">
        <v>300</v>
      </c>
      <c r="B8" s="9" t="s">
        <v>301</v>
      </c>
      <c r="C8" s="9" t="s">
        <v>302</v>
      </c>
    </row>
    <row r="9" customFormat="false" ht="23.25" hidden="false" customHeight="true" outlineLevel="0" collapsed="false">
      <c r="A9" s="9" t="s">
        <v>303</v>
      </c>
      <c r="B9" s="9" t="s">
        <v>304</v>
      </c>
      <c r="C9" s="9" t="s">
        <v>305</v>
      </c>
    </row>
    <row r="10" customFormat="false" ht="15" hidden="false" customHeight="true" outlineLevel="0" collapsed="false">
      <c r="A10" s="9" t="s">
        <v>306</v>
      </c>
      <c r="B10" s="9" t="s">
        <v>307</v>
      </c>
      <c r="C10" s="9" t="s">
        <v>308</v>
      </c>
    </row>
    <row r="11" customFormat="false" ht="15" hidden="false" customHeight="true" outlineLevel="0" collapsed="false">
      <c r="A11" s="9" t="s">
        <v>309</v>
      </c>
      <c r="B11" s="9" t="s">
        <v>310</v>
      </c>
      <c r="C11" s="9" t="s">
        <v>311</v>
      </c>
    </row>
    <row r="12" customFormat="false" ht="23.25" hidden="false" customHeight="true" outlineLevel="0" collapsed="false">
      <c r="A12" s="9" t="s">
        <v>312</v>
      </c>
      <c r="B12" s="9" t="s">
        <v>313</v>
      </c>
      <c r="C12" s="9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2"/>
    <col collapsed="false" customWidth="true" hidden="false" outlineLevel="0" max="3" min="3" style="1" width="42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315</v>
      </c>
    </row>
    <row r="2" customFormat="false" ht="102" hidden="false" customHeight="true" outlineLevel="0" collapsed="false">
      <c r="A2" s="3" t="s">
        <v>316</v>
      </c>
    </row>
    <row r="4" customFormat="false" ht="15" hidden="false" customHeight="true" outlineLevel="0" collapsed="false">
      <c r="A4" s="8" t="s">
        <v>317</v>
      </c>
      <c r="B4" s="8" t="s">
        <v>318</v>
      </c>
      <c r="C4" s="8" t="s">
        <v>319</v>
      </c>
      <c r="D4" s="8" t="s">
        <v>320</v>
      </c>
    </row>
    <row r="5" customFormat="false" ht="23.25" hidden="false" customHeight="true" outlineLevel="0" collapsed="false">
      <c r="A5" s="9" t="s">
        <v>321</v>
      </c>
      <c r="B5" s="9" t="s">
        <v>322</v>
      </c>
      <c r="C5" s="9" t="s">
        <v>323</v>
      </c>
      <c r="D5" s="9" t="s">
        <v>324</v>
      </c>
    </row>
    <row r="6" customFormat="false" ht="23.25" hidden="false" customHeight="true" outlineLevel="0" collapsed="false">
      <c r="A6" s="9" t="s">
        <v>325</v>
      </c>
      <c r="B6" s="9" t="s">
        <v>326</v>
      </c>
      <c r="C6" s="9" t="s">
        <v>327</v>
      </c>
      <c r="D6" s="9" t="s">
        <v>324</v>
      </c>
    </row>
    <row r="7" customFormat="false" ht="34.5" hidden="false" customHeight="true" outlineLevel="0" collapsed="false">
      <c r="A7" s="9" t="s">
        <v>328</v>
      </c>
      <c r="B7" s="9" t="s">
        <v>329</v>
      </c>
      <c r="C7" s="9" t="s">
        <v>330</v>
      </c>
      <c r="D7" s="9" t="s">
        <v>324</v>
      </c>
    </row>
    <row r="8" customFormat="false" ht="23.25" hidden="false" customHeight="true" outlineLevel="0" collapsed="false">
      <c r="A8" s="9" t="s">
        <v>331</v>
      </c>
      <c r="B8" s="9" t="s">
        <v>332</v>
      </c>
      <c r="C8" s="9" t="s">
        <v>333</v>
      </c>
      <c r="D8" s="9" t="s">
        <v>324</v>
      </c>
    </row>
    <row r="9" customFormat="false" ht="23.25" hidden="false" customHeight="true" outlineLevel="0" collapsed="false">
      <c r="A9" s="9" t="s">
        <v>334</v>
      </c>
      <c r="B9" s="9" t="s">
        <v>335</v>
      </c>
      <c r="C9" s="9" t="s">
        <v>336</v>
      </c>
      <c r="D9" s="9" t="s">
        <v>324</v>
      </c>
    </row>
    <row r="10" customFormat="false" ht="23.25" hidden="false" customHeight="true" outlineLevel="0" collapsed="false">
      <c r="A10" s="9" t="s">
        <v>337</v>
      </c>
      <c r="B10" s="9" t="s">
        <v>338</v>
      </c>
      <c r="C10" s="9" t="s">
        <v>339</v>
      </c>
      <c r="D10" s="9" t="s">
        <v>324</v>
      </c>
    </row>
    <row r="11" customFormat="false" ht="23.25" hidden="false" customHeight="true" outlineLevel="0" collapsed="false">
      <c r="A11" s="9" t="s">
        <v>340</v>
      </c>
      <c r="B11" s="9" t="s">
        <v>341</v>
      </c>
      <c r="C11" s="9" t="s">
        <v>342</v>
      </c>
      <c r="D11" s="9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6"/>
  </cols>
  <sheetData>
    <row r="1" customFormat="false" ht="15.75" hidden="false" customHeight="true" outlineLevel="0" collapsed="false">
      <c r="A1" s="2" t="s">
        <v>343</v>
      </c>
    </row>
    <row r="2" customFormat="false" ht="34.5" hidden="false" customHeight="true" outlineLevel="0" collapsed="false">
      <c r="A2" s="3" t="s">
        <v>344</v>
      </c>
    </row>
    <row r="4" customFormat="false" ht="15" hidden="false" customHeight="true" outlineLevel="0" collapsed="false">
      <c r="A4" s="8" t="s">
        <v>345</v>
      </c>
      <c r="B4" s="8" t="s">
        <v>346</v>
      </c>
    </row>
    <row r="5" customFormat="false" ht="15" hidden="false" customHeight="true" outlineLevel="0" collapsed="false">
      <c r="A5" s="9" t="s">
        <v>347</v>
      </c>
      <c r="B5" s="9" t="s">
        <v>348</v>
      </c>
    </row>
    <row r="6" customFormat="false" ht="15" hidden="false" customHeight="true" outlineLevel="0" collapsed="false">
      <c r="A6" s="9" t="s">
        <v>349</v>
      </c>
      <c r="B6" s="9" t="s">
        <v>350</v>
      </c>
    </row>
    <row r="7" customFormat="false" ht="15" hidden="false" customHeight="true" outlineLevel="0" collapsed="false">
      <c r="A7" s="9" t="s">
        <v>351</v>
      </c>
      <c r="B7" s="9" t="s">
        <v>352</v>
      </c>
    </row>
    <row r="8" customFormat="false" ht="15" hidden="false" customHeight="true" outlineLevel="0" collapsed="false">
      <c r="A8" s="9" t="s">
        <v>353</v>
      </c>
      <c r="B8" s="9" t="s">
        <v>354</v>
      </c>
    </row>
    <row r="9" customFormat="false" ht="15" hidden="false" customHeight="true" outlineLevel="0" collapsed="false">
      <c r="A9" s="9" t="s">
        <v>355</v>
      </c>
      <c r="B9" s="9" t="s">
        <v>356</v>
      </c>
    </row>
    <row r="10" customFormat="false" ht="15" hidden="false" customHeight="true" outlineLevel="0" collapsed="false">
      <c r="A10" s="9" t="s">
        <v>357</v>
      </c>
      <c r="B10" s="9" t="s">
        <v>358</v>
      </c>
    </row>
    <row r="11" customFormat="false" ht="15" hidden="false" customHeight="true" outlineLevel="0" collapsed="false">
      <c r="A11" s="9" t="s">
        <v>359</v>
      </c>
      <c r="B11" s="9" t="s">
        <v>360</v>
      </c>
    </row>
    <row r="12" customFormat="false" ht="23.25" hidden="false" customHeight="true" outlineLevel="0" collapsed="false">
      <c r="A12" s="9" t="s">
        <v>361</v>
      </c>
      <c r="B12" s="9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4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2" t="s">
        <v>363</v>
      </c>
    </row>
    <row r="2" customFormat="false" ht="225" hidden="false" customHeight="true" outlineLevel="0" collapsed="false">
      <c r="A2" s="3" t="s">
        <v>364</v>
      </c>
    </row>
    <row r="4" customFormat="false" ht="15" hidden="false" customHeight="true" outlineLevel="0" collapsed="false">
      <c r="A4" s="13" t="s">
        <v>365</v>
      </c>
    </row>
    <row r="5" customFormat="false" ht="15" hidden="false" customHeight="true" outlineLevel="0" collapsed="false">
      <c r="A5" s="8" t="s">
        <v>16</v>
      </c>
      <c r="B5" s="8" t="s">
        <v>366</v>
      </c>
      <c r="C5" s="8" t="s">
        <v>367</v>
      </c>
      <c r="D5" s="8" t="s">
        <v>368</v>
      </c>
      <c r="E5" s="8" t="s">
        <v>369</v>
      </c>
    </row>
    <row r="6" customFormat="false" ht="15" hidden="false" customHeight="true" outlineLevel="0" collapsed="false">
      <c r="A6" s="9" t="s">
        <v>370</v>
      </c>
      <c r="B6" s="9" t="s">
        <v>371</v>
      </c>
      <c r="C6" s="9" t="s">
        <v>372</v>
      </c>
      <c r="D6" s="11"/>
      <c r="E6" s="9"/>
    </row>
    <row r="7" customFormat="false" ht="34.5" hidden="false" customHeight="true" outlineLevel="0" collapsed="false">
      <c r="A7" s="9" t="s">
        <v>373</v>
      </c>
      <c r="B7" s="9" t="s">
        <v>374</v>
      </c>
      <c r="C7" s="9" t="s">
        <v>375</v>
      </c>
      <c r="D7" s="11"/>
      <c r="E7" s="9"/>
    </row>
    <row r="8" customFormat="false" ht="15" hidden="false" customHeight="true" outlineLevel="0" collapsed="false">
      <c r="A8" s="9" t="s">
        <v>376</v>
      </c>
      <c r="B8" s="9" t="s">
        <v>377</v>
      </c>
      <c r="C8" s="9" t="s">
        <v>372</v>
      </c>
      <c r="D8" s="11"/>
      <c r="E8" s="9"/>
    </row>
    <row r="10" customFormat="false" ht="15" hidden="false" customHeight="true" outlineLevel="0" collapsed="false">
      <c r="A10" s="13" t="s">
        <v>378</v>
      </c>
    </row>
    <row r="11" customFormat="false" ht="15" hidden="false" customHeight="true" outlineLevel="0" collapsed="false">
      <c r="A11" s="18" t="s">
        <v>19</v>
      </c>
      <c r="B11" s="18" t="s">
        <v>379</v>
      </c>
      <c r="C11" s="18" t="s">
        <v>380</v>
      </c>
      <c r="D11" s="18" t="s">
        <v>381</v>
      </c>
      <c r="E11" s="18" t="s">
        <v>382</v>
      </c>
      <c r="F11" s="18" t="s">
        <v>383</v>
      </c>
      <c r="G11" s="18" t="s">
        <v>369</v>
      </c>
      <c r="H11" s="18" t="s">
        <v>77</v>
      </c>
    </row>
    <row r="12" customFormat="false" ht="1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</row>
    <row r="13" customFormat="false" ht="1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</row>
    <row r="14" customFormat="false" ht="1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</row>
    <row r="15" customFormat="false" ht="1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20" customFormat="false" ht="15" hidden="false" customHeight="true" outlineLevel="0" collapsed="false">
      <c r="A20" s="20" t="s">
        <v>384</v>
      </c>
    </row>
    <row r="21" customFormat="false" ht="15" hidden="false" customHeight="true" outlineLevel="0" collapsed="false">
      <c r="A21" s="17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2026-07-03T03:32:08Z</dcterms:created>
  <dc:creator>openpyxl</dc:creator>
  <dc:description/>
  <dc:language>en-US</dc:language>
  <cp:lastModifiedBy/>
  <dcterms:modified xsi:type="dcterms:W3CDTF">2026-07-03T03:32:36Z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